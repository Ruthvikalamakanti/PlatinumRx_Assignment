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a2fc46ef35430f/"/>
    </mc:Choice>
  </mc:AlternateContent>
  <xr:revisionPtr revIDLastSave="0" documentId="8_{056A772C-7F2D-4EF3-9AA6-656D30C986D7}" xr6:coauthVersionLast="47" xr6:coauthVersionMax="47" xr10:uidLastSave="{00000000-0000-0000-0000-000000000000}"/>
  <bookViews>
    <workbookView xWindow="-108" yWindow="-108" windowWidth="23256" windowHeight="12456" xr2:uid="{4AAC7257-87BF-4020-A120-157891906F81}"/>
  </bookViews>
  <sheets>
    <sheet name="tickets " sheetId="1" r:id="rId1"/>
    <sheet name="feedbacks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F3" i="3"/>
  <c r="F4" i="3"/>
  <c r="F5" i="3"/>
  <c r="F6" i="3"/>
  <c r="F7" i="3"/>
  <c r="F8" i="3"/>
  <c r="F9" i="3"/>
  <c r="F2" i="3"/>
  <c r="E3" i="3"/>
  <c r="E4" i="3"/>
  <c r="E5" i="3"/>
  <c r="E6" i="3"/>
  <c r="E7" i="3"/>
  <c r="E8" i="3"/>
  <c r="E9" i="3"/>
  <c r="E2" i="3"/>
</calcChain>
</file>

<file path=xl/sharedStrings.xml><?xml version="1.0" encoding="utf-8"?>
<sst xmlns="http://schemas.openxmlformats.org/spreadsheetml/2006/main" count="57" uniqueCount="36">
  <si>
    <t>ticket_id</t>
  </si>
  <si>
    <t>created_at</t>
  </si>
  <si>
    <t>closed_at</t>
  </si>
  <si>
    <t>outlet_id</t>
  </si>
  <si>
    <t>cms_id</t>
  </si>
  <si>
    <t>tck-001</t>
  </si>
  <si>
    <t>outlet-1</t>
  </si>
  <si>
    <t>cms-001</t>
  </si>
  <si>
    <t>tck-002</t>
  </si>
  <si>
    <t>outlet-2</t>
  </si>
  <si>
    <t>cms-002</t>
  </si>
  <si>
    <t>tck-003</t>
  </si>
  <si>
    <t>cms-003</t>
  </si>
  <si>
    <t>tck-004</t>
  </si>
  <si>
    <t>outlet-3</t>
  </si>
  <si>
    <t>cms-004</t>
  </si>
  <si>
    <t>tck-005</t>
  </si>
  <si>
    <t>cms-005</t>
  </si>
  <si>
    <t>tck-006</t>
  </si>
  <si>
    <t>cms-006</t>
  </si>
  <si>
    <t>tck-007</t>
  </si>
  <si>
    <t>cms-007</t>
  </si>
  <si>
    <t>tck-008</t>
  </si>
  <si>
    <t>cms-008</t>
  </si>
  <si>
    <t>feedback_at</t>
  </si>
  <si>
    <t>feedback_rating</t>
  </si>
  <si>
    <t>ticket_created_at</t>
  </si>
  <si>
    <t>same_day</t>
  </si>
  <si>
    <t>same_hour</t>
  </si>
  <si>
    <t>Row Labels</t>
  </si>
  <si>
    <t>Grand Total</t>
  </si>
  <si>
    <t>Count of same_day</t>
  </si>
  <si>
    <t>Count of same_hour</t>
  </si>
  <si>
    <t>TRUE</t>
  </si>
  <si>
    <t xml:space="preserve">date </t>
  </si>
  <si>
    <t xml:space="preserve">ticket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</si>
</sst>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pivotButton="1"/>
    <xf numFmtId="0" fontId="0" fillId="0" borderId="1" xfId="0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</a:t>
            </a:r>
            <a:r>
              <a:rPr lang="en-US" baseline="0"/>
              <a:t> created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'tickets '!$B$1</c:f>
              <c:strCache>
                <c:ptCount val="1"/>
                <c:pt idx="0">
                  <c:v>created_at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'tickets '!$A$2:$A$9</c:f>
              <c:strCache>
                <c:ptCount val="8"/>
                <c:pt idx="0">
                  <c:v>tck-001</c:v>
                </c:pt>
                <c:pt idx="1">
                  <c:v>tck-002</c:v>
                </c:pt>
                <c:pt idx="2">
                  <c:v>tck-003</c:v>
                </c:pt>
                <c:pt idx="3">
                  <c:v>tck-004</c:v>
                </c:pt>
                <c:pt idx="4">
                  <c:v>tck-005</c:v>
                </c:pt>
                <c:pt idx="5">
                  <c:v>tck-006</c:v>
                </c:pt>
                <c:pt idx="6">
                  <c:v>tck-007</c:v>
                </c:pt>
                <c:pt idx="7">
                  <c:v>tck-008</c:v>
                </c:pt>
              </c:strCache>
            </c:strRef>
          </c:cat>
          <c:val>
            <c:numRef>
              <c:f>'tickets '!$B$2:$B$9</c:f>
              <c:numCache>
                <c:formatCode>m/d/yyyy\ h:mm</c:formatCode>
                <c:ptCount val="8"/>
                <c:pt idx="0">
                  <c:v>44427.385416666664</c:v>
                </c:pt>
                <c:pt idx="1">
                  <c:v>44427.4375</c:v>
                </c:pt>
                <c:pt idx="2">
                  <c:v>44428.5</c:v>
                </c:pt>
                <c:pt idx="3">
                  <c:v>44428.59375</c:v>
                </c:pt>
                <c:pt idx="4">
                  <c:v>44429.697916666664</c:v>
                </c:pt>
                <c:pt idx="5">
                  <c:v>44429.375</c:v>
                </c:pt>
                <c:pt idx="6">
                  <c:v>44430.472222222219</c:v>
                </c:pt>
                <c:pt idx="7">
                  <c:v>44430.569444444445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0-4833-B92A-BDC5DC66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11196208"/>
        <c:axId val="1511196688"/>
      </c:lineChart>
      <c:catAx>
        <c:axId val="151119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96688"/>
        <c:crosses val="autoZero"/>
        <c:auto val="1"/>
        <c:lblAlgn val="ctr"/>
        <c:lblOffset val="100"/>
        <c:noMultiLvlLbl val="0"/>
      </c:catAx>
      <c:valAx>
        <c:axId val="1511196688"/>
        <c:scaling>
          <c:orientation val="minMax"/>
        </c:scaling>
        <c:delete val="0"/>
        <c:axPos val="l"/>
        <c:numFmt formatCode="m/d/yyyy\ 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962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38485</xdr:colOff>
      <xdr:row>12</xdr:row>
      <xdr:rowOff>48491</xdr:rowOff>
    </xdr:from>
    <xdr:to>
      <xdr:col>12</xdr:col>
      <xdr:colOff>300181</xdr:colOff>
      <xdr:row>27</xdr:row>
      <xdr:rowOff>20782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3B0CC-2C0A-3671-2BF9-FE8F26D72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UTHVIK" refreshedDate="45994.517014699071" createdVersion="8" refreshedVersion="8" minRefreshableVersion="3" recordCount="8" xr:uid="{7C51A9DF-0212-44F5-8670-FAC8271919BE}">
  <cacheSource type="worksheet">
    <worksheetSource ref="A1:G9" sheet="tickets 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09:15:00" maxDate="2021-08-22T13:40:00"/>
    </cacheField>
    <cacheField name="closed_at" numFmtId="22">
      <sharedItems containsSemiMixedTypes="0" containsNonDate="0" containsDate="1" containsString="0" minDate="2021-08-19T09:50:00" maxDate="2021-08-22T13:40:00"/>
    </cacheField>
    <cacheField name="outlet_id" numFmtId="0">
      <sharedItems count="3">
        <s v="outlet-1"/>
        <s v="outlet-2"/>
        <s v="outlet-3"/>
      </sharedItems>
    </cacheField>
    <cacheField name="cms_id" numFmtId="0">
      <sharedItems/>
    </cacheField>
    <cacheField name="same_day" numFmtId="0">
      <sharedItems count="2">
        <b v="1"/>
        <b v="0"/>
      </sharedItems>
    </cacheField>
    <cacheField name="same_hour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tck-001"/>
    <d v="2021-08-19T09:15:00"/>
    <d v="2021-08-19T09:50:00"/>
    <x v="0"/>
    <s v="cms-001"/>
    <x v="0"/>
    <x v="0"/>
  </r>
  <r>
    <s v="tck-002"/>
    <d v="2021-08-19T10:30:00"/>
    <d v="2021-08-19T11:30:00"/>
    <x v="1"/>
    <s v="cms-002"/>
    <x v="0"/>
    <x v="1"/>
  </r>
  <r>
    <s v="tck-003"/>
    <d v="2021-08-20T12:00:00"/>
    <d v="2021-08-20T12:00:00"/>
    <x v="0"/>
    <s v="cms-003"/>
    <x v="0"/>
    <x v="0"/>
  </r>
  <r>
    <s v="tck-004"/>
    <d v="2021-08-20T14:15:00"/>
    <d v="2021-08-21T14:15:00"/>
    <x v="2"/>
    <s v="cms-004"/>
    <x v="1"/>
    <x v="1"/>
  </r>
  <r>
    <s v="tck-005"/>
    <d v="2021-08-21T16:45:00"/>
    <d v="2021-08-21T16:50:00"/>
    <x v="1"/>
    <s v="cms-005"/>
    <x v="0"/>
    <x v="0"/>
  </r>
  <r>
    <s v="tck-006"/>
    <d v="2021-08-21T09:00:00"/>
    <d v="2021-08-21T09:00:00"/>
    <x v="0"/>
    <s v="cms-006"/>
    <x v="0"/>
    <x v="0"/>
  </r>
  <r>
    <s v="tck-007"/>
    <d v="2021-08-22T11:20:00"/>
    <d v="2021-08-22T12:20:00"/>
    <x v="2"/>
    <s v="cms-007"/>
    <x v="0"/>
    <x v="1"/>
  </r>
  <r>
    <s v="tck-008"/>
    <d v="2021-08-22T13:40:00"/>
    <d v="2021-08-22T13:40:00"/>
    <x v="1"/>
    <s v="cms-00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459B-EF2D-4040-B7CA-9D4113CE7F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18" firstHeaderRow="0" firstDataRow="1" firstDataCol="1" rowPageCount="2" colPageCount="1"/>
  <pivotFields count="7">
    <pivotField showAll="0"/>
    <pivotField numFmtId="22" showAll="0"/>
    <pivotField numFmtId="22" showAll="0"/>
    <pivotField axis="axisRow" showAll="0">
      <items count="4">
        <item x="0"/>
        <item x="1"/>
        <item x="2"/>
        <item t="default"/>
      </items>
    </pivotField>
    <pivotField showAll="0"/>
    <pivotField axis="axisPage" dataField="1" showAll="0">
      <items count="3">
        <item x="1"/>
        <item x="0"/>
        <item t="default"/>
      </items>
    </pivotField>
    <pivotField axis="axisPage" dataField="1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5" item="1" hier="-1"/>
    <pageField fld="6" item="1" hier="-1"/>
  </pageFields>
  <dataFields count="2">
    <dataField name="Count of same_day" fld="5" subtotal="count" baseField="0" baseItem="0"/>
    <dataField name="Count of same_hou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7D227-51D3-42A4-B9BF-F8FDAFB7ADEA}" name="Table1" displayName="Table1" ref="B21:C25" totalsRowShown="0">
  <autoFilter ref="B21:C25" xr:uid="{2D47D227-51D3-42A4-B9BF-F8FDAFB7ADEA}"/>
  <tableColumns count="2">
    <tableColumn id="1" xr3:uid="{635F21D2-94DB-40CC-B457-ABF9C9444AB9}" name="date " dataDxfId="0">
      <calculatedColumnFormula>UNIQUE(C2:C9)</calculatedColumnFormula>
    </tableColumn>
    <tableColumn id="2" xr3:uid="{46931B5D-B81B-4CA4-BCAC-6FB78B9E389D}" name="ticket coun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B980-412C-4F66-80BF-7ADB2A8AD6A9}">
  <dimension ref="A1:G25"/>
  <sheetViews>
    <sheetView tabSelected="1" zoomScale="99" workbookViewId="0">
      <selection activeCell="K8" sqref="K8"/>
    </sheetView>
  </sheetViews>
  <sheetFormatPr defaultRowHeight="14.4" x14ac:dyDescent="0.3"/>
  <cols>
    <col min="1" max="1" width="12.5546875" customWidth="1"/>
    <col min="2" max="2" width="17.77734375" customWidth="1"/>
    <col min="3" max="3" width="18.6640625" bestFit="1" customWidth="1"/>
    <col min="4" max="4" width="16.33203125" customWidth="1"/>
    <col min="5" max="5" width="11.109375" customWidth="1"/>
    <col min="6" max="6" width="16.44140625" customWidth="1"/>
    <col min="7" max="7" width="12.6640625" customWidth="1"/>
  </cols>
  <sheetData>
    <row r="1" spans="1:7" ht="28.8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27</v>
      </c>
      <c r="G1" s="6" t="s">
        <v>28</v>
      </c>
    </row>
    <row r="2" spans="1:7" x14ac:dyDescent="0.3">
      <c r="A2" s="2" t="s">
        <v>5</v>
      </c>
      <c r="B2" s="4">
        <v>44427.385416666664</v>
      </c>
      <c r="C2" s="4">
        <v>44427.409722222219</v>
      </c>
      <c r="D2" s="5" t="s">
        <v>6</v>
      </c>
      <c r="E2" s="2" t="s">
        <v>7</v>
      </c>
      <c r="F2" t="b">
        <f>INT(B2)=INT(C2)</f>
        <v>1</v>
      </c>
      <c r="G2" t="b">
        <f>AND(INT(B2)=INT(C2), HOUR(B2)=HOUR(C2))</f>
        <v>1</v>
      </c>
    </row>
    <row r="3" spans="1:7" x14ac:dyDescent="0.3">
      <c r="A3" s="2" t="s">
        <v>8</v>
      </c>
      <c r="B3" s="4">
        <v>44427.4375</v>
      </c>
      <c r="C3" s="4">
        <v>44427.479166666664</v>
      </c>
      <c r="D3" s="5" t="s">
        <v>9</v>
      </c>
      <c r="E3" s="2" t="s">
        <v>10</v>
      </c>
      <c r="F3" t="b">
        <f t="shared" ref="F3:F9" si="0">INT(B3)=INT(C3)</f>
        <v>1</v>
      </c>
      <c r="G3" t="b">
        <f t="shared" ref="G3:G9" si="1">AND(INT(B3)=INT(C3), HOUR(B3)=HOUR(C3))</f>
        <v>0</v>
      </c>
    </row>
    <row r="4" spans="1:7" x14ac:dyDescent="0.3">
      <c r="A4" s="2" t="s">
        <v>11</v>
      </c>
      <c r="B4" s="4">
        <v>44428.5</v>
      </c>
      <c r="C4" s="4">
        <v>44428.5</v>
      </c>
      <c r="D4" s="5" t="s">
        <v>6</v>
      </c>
      <c r="E4" s="2" t="s">
        <v>12</v>
      </c>
      <c r="F4" t="b">
        <f t="shared" si="0"/>
        <v>1</v>
      </c>
      <c r="G4" t="b">
        <f t="shared" si="1"/>
        <v>1</v>
      </c>
    </row>
    <row r="5" spans="1:7" x14ac:dyDescent="0.3">
      <c r="A5" s="2" t="s">
        <v>13</v>
      </c>
      <c r="B5" s="4">
        <v>44428.59375</v>
      </c>
      <c r="C5" s="4">
        <v>44429.59375</v>
      </c>
      <c r="D5" s="5" t="s">
        <v>14</v>
      </c>
      <c r="E5" s="2" t="s">
        <v>15</v>
      </c>
      <c r="F5" t="b">
        <f t="shared" si="0"/>
        <v>0</v>
      </c>
      <c r="G5" t="b">
        <f t="shared" si="1"/>
        <v>0</v>
      </c>
    </row>
    <row r="6" spans="1:7" x14ac:dyDescent="0.3">
      <c r="A6" s="2" t="s">
        <v>16</v>
      </c>
      <c r="B6" s="4">
        <v>44429.697916666664</v>
      </c>
      <c r="C6" s="4">
        <v>44429.701388888891</v>
      </c>
      <c r="D6" s="5" t="s">
        <v>9</v>
      </c>
      <c r="E6" s="2" t="s">
        <v>17</v>
      </c>
      <c r="F6" t="b">
        <f t="shared" si="0"/>
        <v>1</v>
      </c>
      <c r="G6" t="b">
        <f t="shared" si="1"/>
        <v>1</v>
      </c>
    </row>
    <row r="7" spans="1:7" x14ac:dyDescent="0.3">
      <c r="A7" s="2" t="s">
        <v>18</v>
      </c>
      <c r="B7" s="4">
        <v>44429.375</v>
      </c>
      <c r="C7" s="4">
        <v>44429.375</v>
      </c>
      <c r="D7" s="5" t="s">
        <v>6</v>
      </c>
      <c r="E7" s="2" t="s">
        <v>19</v>
      </c>
      <c r="F7" t="b">
        <f t="shared" si="0"/>
        <v>1</v>
      </c>
      <c r="G7" t="b">
        <f t="shared" si="1"/>
        <v>1</v>
      </c>
    </row>
    <row r="8" spans="1:7" x14ac:dyDescent="0.3">
      <c r="A8" s="2" t="s">
        <v>20</v>
      </c>
      <c r="B8" s="4">
        <v>44430.472222222219</v>
      </c>
      <c r="C8" s="4">
        <v>44430.513888888891</v>
      </c>
      <c r="D8" s="5" t="s">
        <v>14</v>
      </c>
      <c r="E8" s="2" t="s">
        <v>21</v>
      </c>
      <c r="F8" t="b">
        <f t="shared" si="0"/>
        <v>1</v>
      </c>
      <c r="G8" t="b">
        <f t="shared" si="1"/>
        <v>0</v>
      </c>
    </row>
    <row r="9" spans="1:7" x14ac:dyDescent="0.3">
      <c r="A9" s="2" t="s">
        <v>22</v>
      </c>
      <c r="B9" s="4">
        <v>44430.569444444445</v>
      </c>
      <c r="C9" s="4">
        <v>44430.569444444445</v>
      </c>
      <c r="D9" s="5" t="s">
        <v>9</v>
      </c>
      <c r="E9" s="2" t="s">
        <v>23</v>
      </c>
      <c r="F9" t="b">
        <f t="shared" si="0"/>
        <v>1</v>
      </c>
      <c r="G9" t="b">
        <f t="shared" si="1"/>
        <v>1</v>
      </c>
    </row>
    <row r="12" spans="1:7" x14ac:dyDescent="0.3">
      <c r="A12" s="10" t="s">
        <v>27</v>
      </c>
      <c r="B12" t="s">
        <v>33</v>
      </c>
    </row>
    <row r="13" spans="1:7" x14ac:dyDescent="0.3">
      <c r="A13" s="10" t="s">
        <v>28</v>
      </c>
      <c r="B13" t="s">
        <v>33</v>
      </c>
    </row>
    <row r="15" spans="1:7" x14ac:dyDescent="0.3">
      <c r="A15" s="10" t="s">
        <v>29</v>
      </c>
      <c r="B15" t="s">
        <v>31</v>
      </c>
      <c r="C15" t="s">
        <v>32</v>
      </c>
    </row>
    <row r="16" spans="1:7" x14ac:dyDescent="0.3">
      <c r="A16" s="7" t="s">
        <v>6</v>
      </c>
      <c r="B16">
        <v>3</v>
      </c>
      <c r="C16">
        <v>3</v>
      </c>
    </row>
    <row r="17" spans="1:3" x14ac:dyDescent="0.3">
      <c r="A17" s="7" t="s">
        <v>9</v>
      </c>
      <c r="B17">
        <v>2</v>
      </c>
      <c r="C17">
        <v>2</v>
      </c>
    </row>
    <row r="18" spans="1:3" x14ac:dyDescent="0.3">
      <c r="A18" s="7" t="s">
        <v>30</v>
      </c>
      <c r="B18">
        <v>5</v>
      </c>
      <c r="C18">
        <v>5</v>
      </c>
    </row>
    <row r="21" spans="1:3" x14ac:dyDescent="0.3">
      <c r="B21" t="s">
        <v>34</v>
      </c>
      <c r="C21" t="s">
        <v>35</v>
      </c>
    </row>
    <row r="22" spans="1:3" x14ac:dyDescent="0.3">
      <c r="B22">
        <v>19</v>
      </c>
      <c r="C22">
        <v>2</v>
      </c>
    </row>
    <row r="23" spans="1:3" x14ac:dyDescent="0.3">
      <c r="B23">
        <v>20</v>
      </c>
      <c r="C23" s="11">
        <v>1</v>
      </c>
    </row>
    <row r="24" spans="1:3" x14ac:dyDescent="0.3">
      <c r="B24">
        <v>21</v>
      </c>
      <c r="C24">
        <v>3</v>
      </c>
    </row>
    <row r="25" spans="1:3" x14ac:dyDescent="0.3">
      <c r="B25">
        <v>22</v>
      </c>
      <c r="C25">
        <v>2</v>
      </c>
    </row>
  </sheetData>
  <phoneticPr fontId="2" type="noConversion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2FC5-459F-4BFE-A1B9-EA3B05BC496E}">
  <dimension ref="A1:F9"/>
  <sheetViews>
    <sheetView workbookViewId="0">
      <selection activeCell="E1" sqref="E1:F9"/>
    </sheetView>
  </sheetViews>
  <sheetFormatPr defaultRowHeight="14.4" x14ac:dyDescent="0.3"/>
  <cols>
    <col min="1" max="1" width="23.88671875" customWidth="1"/>
    <col min="2" max="2" width="22.109375" customWidth="1"/>
    <col min="3" max="3" width="22.77734375" customWidth="1"/>
    <col min="4" max="4" width="24.6640625" style="7" customWidth="1"/>
    <col min="5" max="5" width="14.44140625" customWidth="1"/>
    <col min="6" max="6" width="15.44140625" customWidth="1"/>
  </cols>
  <sheetData>
    <row r="1" spans="1:6" x14ac:dyDescent="0.3">
      <c r="A1" s="1" t="s">
        <v>4</v>
      </c>
      <c r="B1" s="1" t="s">
        <v>24</v>
      </c>
      <c r="C1" s="1" t="s">
        <v>25</v>
      </c>
      <c r="D1" s="6" t="s">
        <v>26</v>
      </c>
      <c r="E1" s="9" t="s">
        <v>27</v>
      </c>
      <c r="F1" s="9" t="s">
        <v>28</v>
      </c>
    </row>
    <row r="2" spans="1:6" x14ac:dyDescent="0.3">
      <c r="A2" s="2" t="s">
        <v>7</v>
      </c>
      <c r="B2" s="3">
        <v>44427.416666666664</v>
      </c>
      <c r="C2" s="2">
        <v>5</v>
      </c>
      <c r="D2" s="4">
        <v>44427.385416666664</v>
      </c>
      <c r="E2" t="b">
        <f>INT(B2)=INT(C2)</f>
        <v>0</v>
      </c>
      <c r="F2" t="b">
        <f>AND(INT(B2)=INT(C2), HOUR(B2)=HOUR(C2))</f>
        <v>0</v>
      </c>
    </row>
    <row r="3" spans="1:6" x14ac:dyDescent="0.3">
      <c r="A3" s="2" t="s">
        <v>10</v>
      </c>
      <c r="B3" s="3">
        <v>44427.5</v>
      </c>
      <c r="C3" s="2">
        <v>4</v>
      </c>
      <c r="D3" s="4">
        <v>44427.4375</v>
      </c>
      <c r="E3" t="b">
        <f t="shared" ref="E3:E9" si="0">INT(B3)=INT(C3)</f>
        <v>0</v>
      </c>
      <c r="F3" t="b">
        <f t="shared" ref="F3:F9" si="1">AND(INT(B3)=INT(C3), HOUR(B3)=HOUR(C3))</f>
        <v>0</v>
      </c>
    </row>
    <row r="4" spans="1:6" x14ac:dyDescent="0.3">
      <c r="A4" s="2" t="s">
        <v>12</v>
      </c>
      <c r="B4" s="3">
        <v>44428.541666666664</v>
      </c>
      <c r="C4" s="2">
        <v>3</v>
      </c>
      <c r="D4" s="4">
        <v>44428.5</v>
      </c>
      <c r="E4" t="b">
        <f t="shared" si="0"/>
        <v>0</v>
      </c>
      <c r="F4" t="b">
        <f t="shared" si="1"/>
        <v>0</v>
      </c>
    </row>
    <row r="5" spans="1:6" x14ac:dyDescent="0.3">
      <c r="A5" s="2" t="s">
        <v>15</v>
      </c>
      <c r="B5" s="3">
        <v>44429.625</v>
      </c>
      <c r="C5" s="2">
        <v>4</v>
      </c>
      <c r="D5" s="4">
        <v>44428.59375</v>
      </c>
      <c r="E5" t="b">
        <f t="shared" si="0"/>
        <v>0</v>
      </c>
      <c r="F5" t="b">
        <f t="shared" si="1"/>
        <v>0</v>
      </c>
    </row>
    <row r="6" spans="1:6" x14ac:dyDescent="0.3">
      <c r="A6" s="2" t="s">
        <v>17</v>
      </c>
      <c r="B6" s="3">
        <v>44429.708333333336</v>
      </c>
      <c r="C6" s="2">
        <v>5</v>
      </c>
      <c r="D6" s="4">
        <v>44429.697916666664</v>
      </c>
      <c r="E6" t="b">
        <f t="shared" si="0"/>
        <v>0</v>
      </c>
      <c r="F6" t="b">
        <f t="shared" si="1"/>
        <v>0</v>
      </c>
    </row>
    <row r="7" spans="1:6" x14ac:dyDescent="0.3">
      <c r="A7" s="2" t="s">
        <v>19</v>
      </c>
      <c r="B7" s="3">
        <v>44429.395833333336</v>
      </c>
      <c r="C7" s="2">
        <v>3</v>
      </c>
      <c r="D7" s="8">
        <v>44429.375</v>
      </c>
      <c r="E7" t="b">
        <f t="shared" si="0"/>
        <v>0</v>
      </c>
      <c r="F7" t="b">
        <f t="shared" si="1"/>
        <v>0</v>
      </c>
    </row>
    <row r="8" spans="1:6" x14ac:dyDescent="0.3">
      <c r="A8" s="2" t="s">
        <v>21</v>
      </c>
      <c r="B8" s="3">
        <v>44430.534722222219</v>
      </c>
      <c r="C8" s="2">
        <v>4</v>
      </c>
      <c r="D8" s="4">
        <v>44430.472222222219</v>
      </c>
      <c r="E8" t="b">
        <f t="shared" si="0"/>
        <v>0</v>
      </c>
      <c r="F8" t="b">
        <f t="shared" si="1"/>
        <v>0</v>
      </c>
    </row>
    <row r="9" spans="1:6" x14ac:dyDescent="0.3">
      <c r="A9" s="2" t="s">
        <v>23</v>
      </c>
      <c r="B9" s="3">
        <v>44430.583333333336</v>
      </c>
      <c r="C9" s="2">
        <v>5</v>
      </c>
      <c r="D9" s="4">
        <v>44430.569444444445</v>
      </c>
      <c r="E9" t="b">
        <f t="shared" si="0"/>
        <v>0</v>
      </c>
      <c r="F9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 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ruthvik</dc:creator>
  <cp:lastModifiedBy>sai ruthvik</cp:lastModifiedBy>
  <dcterms:created xsi:type="dcterms:W3CDTF">2025-12-03T06:24:19Z</dcterms:created>
  <dcterms:modified xsi:type="dcterms:W3CDTF">2025-12-03T07:22:31Z</dcterms:modified>
</cp:coreProperties>
</file>